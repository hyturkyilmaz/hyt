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Panosu" sheetId="1" state="visible" r:id="rId1"/>
    <sheet xmlns:r="http://schemas.openxmlformats.org/officeDocument/2006/relationships" name="BF_Fiyat_Takvimi" sheetId="2" state="visible" r:id="rId2"/>
    <sheet xmlns:r="http://schemas.openxmlformats.org/officeDocument/2006/relationships" name="Google_Kurulum" sheetId="3" state="visible" r:id="rId3"/>
    <sheet xmlns:r="http://schemas.openxmlformats.org/officeDocument/2006/relationships" name="KPI_Don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B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2" customWidth="1" min="3" max="3"/>
    <col width="12" customWidth="1" min="4" max="4"/>
    <col width="50" customWidth="1" min="5" max="5"/>
  </cols>
  <sheetData>
    <row r="1">
      <c r="A1" s="1" t="inlineStr">
        <is>
          <t>Kart</t>
        </is>
      </c>
      <c r="B1" s="1" t="inlineStr">
        <is>
          <t>Sütun</t>
        </is>
      </c>
      <c r="C1" s="1" t="inlineStr">
        <is>
          <t>Son tarih</t>
        </is>
      </c>
      <c r="D1" s="1" t="inlineStr">
        <is>
          <t>Sorumlu</t>
        </is>
      </c>
      <c r="E1" s="1" t="inlineStr">
        <is>
          <t>Not</t>
        </is>
      </c>
    </row>
    <row r="2">
      <c r="A2" t="inlineStr">
        <is>
          <t>Meta ürün gezinme kararı (kapat / test)</t>
        </is>
      </c>
      <c r="B2" t="inlineStr">
        <is>
          <t>Yapılacak</t>
        </is>
      </c>
      <c r="C2" s="2" t="n">
        <v>46322</v>
      </c>
      <c r="D2" t="inlineStr">
        <is>
          <t>Hasan</t>
        </is>
      </c>
      <c r="E2" t="inlineStr">
        <is>
          <t>Toplu kapatma 28 Ekim'e kadar</t>
        </is>
      </c>
    </row>
    <row r="3">
      <c r="A3" t="inlineStr">
        <is>
          <t>Advantage+ creative özellik denetimi</t>
        </is>
      </c>
      <c r="B3" t="inlineStr">
        <is>
          <t>Yapılacak</t>
        </is>
      </c>
      <c r="C3" s="2" t="n">
        <v>46324</v>
      </c>
      <c r="D3" t="inlineStr">
        <is>
          <t>Hasan</t>
        </is>
      </c>
      <c r="E3" t="inlineStr">
        <is>
          <t>30 Ekim koşulları</t>
        </is>
      </c>
    </row>
    <row r="4">
      <c r="A4" t="inlineStr">
        <is>
          <t>Meta hesap düzeyi yerleşim kontrolleri + %5 kutusu</t>
        </is>
      </c>
      <c r="B4" t="inlineStr">
        <is>
          <t>Yapılacak</t>
        </is>
      </c>
      <c r="C4" s="2" t="n">
        <v>46326</v>
      </c>
      <c r="D4" t="inlineStr">
        <is>
          <t>Hasan</t>
        </is>
      </c>
      <c r="E4" t="inlineStr"/>
    </row>
    <row r="5">
      <c r="A5" t="inlineStr">
        <is>
          <t>Google kanal önceliği / Display tavanı</t>
        </is>
      </c>
      <c r="B5" t="inlineStr">
        <is>
          <t>Yapılacak</t>
        </is>
      </c>
      <c r="C5" s="2" t="n">
        <v>46333</v>
      </c>
      <c r="D5" t="inlineStr">
        <is>
          <t>Hasan</t>
        </is>
      </c>
      <c r="E5" t="inlineStr">
        <is>
          <t>Kademeli açılıyor, hesapta kontrol</t>
        </is>
      </c>
    </row>
    <row r="6">
      <c r="A6" t="inlineStr">
        <is>
          <t>BF fiyat geçmişi logu (kanal bazlı)</t>
        </is>
      </c>
      <c r="B6" t="inlineStr">
        <is>
          <t>Yapılacak</t>
        </is>
      </c>
      <c r="C6" s="2" t="n">
        <v>46326</v>
      </c>
      <c r="D6" t="inlineStr">
        <is>
          <t>Marka</t>
        </is>
      </c>
      <c r="E6" t="inlineStr">
        <is>
          <t>10 gün kuralı</t>
        </is>
      </c>
    </row>
    <row r="7">
      <c r="A7" t="inlineStr">
        <is>
          <t>Avatar fotoğrafını repoya yükle</t>
        </is>
      </c>
      <c r="B7" t="inlineStr">
        <is>
          <t>Yapılacak</t>
        </is>
      </c>
      <c r="C7" s="2" t="n"/>
      <c r="D7" t="inlineStr">
        <is>
          <t>Hasan</t>
        </is>
      </c>
      <c r="E7" t="inlineStr">
        <is>
          <t>pazarlama/sosyal-medya/_assets/avatar.jpg</t>
        </is>
      </c>
    </row>
    <row r="8">
      <c r="A8" t="inlineStr">
        <is>
          <t>Super Burst uygunluğu (Reach Planner / Meta temsilcisi)</t>
        </is>
      </c>
      <c r="B8" t="inlineStr">
        <is>
          <t>Beklemede</t>
        </is>
      </c>
      <c r="C8" s="2" t="n"/>
      <c r="D8" t="inlineStr">
        <is>
          <t>Hasan</t>
        </is>
      </c>
      <c r="E8" t="inlineStr">
        <is>
          <t>TR ülke listesi açıklanmadı</t>
        </is>
      </c>
    </row>
    <row r="9">
      <c r="A9" t="inlineStr">
        <is>
          <t>4 karusel + video + metinler</t>
        </is>
      </c>
      <c r="B9" t="inlineStr">
        <is>
          <t>Biten</t>
        </is>
      </c>
      <c r="C9" s="2" t="n">
        <v>46319</v>
      </c>
      <c r="D9" t="inlineStr">
        <is>
          <t>Claude</t>
        </is>
      </c>
      <c r="E9" t="inlineStr">
        <is>
          <t>Avatar gelince son slayt yenilenecek</t>
        </is>
      </c>
    </row>
    <row r="10">
      <c r="A10" t="inlineStr">
        <is>
          <t>Strateji notu (DOCX) + uygulama Excel</t>
        </is>
      </c>
      <c r="B10" t="inlineStr">
        <is>
          <t>Biten</t>
        </is>
      </c>
      <c r="C10" s="2" t="n">
        <v>46319</v>
      </c>
      <c r="D10" t="inlineStr">
        <is>
          <t>Claude</t>
        </is>
      </c>
      <c r="E10" t="inlineStr"/>
    </row>
    <row r="11">
      <c r="A11" t="inlineStr">
        <is>
          <t>Skill + hafıza dosyaları</t>
        </is>
      </c>
      <c r="B11" t="inlineStr">
        <is>
          <t>Biten</t>
        </is>
      </c>
      <c r="C11" s="2" t="n">
        <v>46319</v>
      </c>
      <c r="D11" t="inlineStr">
        <is>
          <t>Claude</t>
        </is>
      </c>
      <c r="E11" t="inlineStr">
        <is>
          <t>.claude/skills, CLAUDE.md</t>
        </is>
      </c>
    </row>
    <row r="12">
      <c r="A12" t="inlineStr">
        <is>
          <t>Sabah 08:03 haber özeti görevi</t>
        </is>
      </c>
      <c r="B12" t="inlineStr">
        <is>
          <t>Biten</t>
        </is>
      </c>
      <c r="C12" s="2" t="n">
        <v>46319</v>
      </c>
      <c r="D12" t="inlineStr">
        <is>
          <t>Claude</t>
        </is>
      </c>
      <c r="E12" t="inlineStr">
        <is>
          <t>Push bildirimi</t>
        </is>
      </c>
    </row>
  </sheetData>
  <dataValidations count="1">
    <dataValidation sqref="B2:B62" showDropDown="0" showInputMessage="0" showErrorMessage="0" allowBlank="0" type="list">
      <formula1>"Yapılacak,Devam Eden,Beklemede,Biten"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Kampanya</t>
        </is>
      </c>
      <c r="B1" s="1" t="inlineStr">
        <is>
          <t>İndirim başlangıcı</t>
        </is>
      </c>
      <c r="C1" s="1" t="inlineStr">
        <is>
          <t>Pencere başı</t>
        </is>
      </c>
      <c r="D1" s="1" t="inlineStr">
        <is>
          <t>Pencere sonu</t>
        </is>
      </c>
      <c r="E1" s="1" t="inlineStr">
        <is>
          <t>Not</t>
        </is>
      </c>
    </row>
    <row r="2">
      <c r="A2" t="inlineStr">
        <is>
          <t>Kasım boyu kampanya</t>
        </is>
      </c>
      <c r="B2" s="2" t="n">
        <v>46327</v>
      </c>
      <c r="C2" s="2">
        <f>B2-10</f>
        <v/>
      </c>
      <c r="D2" s="2">
        <f>B2-1</f>
        <v/>
      </c>
      <c r="E2" t="inlineStr">
        <is>
          <t>Bu aralıkta fiyat artırmayın; referans fiyat = aralıktaki en düşük fiyat (aynı kanal)</t>
        </is>
      </c>
    </row>
    <row r="3">
      <c r="A3" t="inlineStr">
        <is>
          <t>11.11 ısınma</t>
        </is>
      </c>
      <c r="B3" s="2" t="n">
        <v>46335</v>
      </c>
      <c r="C3" s="2">
        <f>B3-10</f>
        <v/>
      </c>
      <c r="D3" s="2">
        <f>B3-1</f>
        <v/>
      </c>
      <c r="E3" t="inlineStr">
        <is>
          <t>Bu aralıkta fiyat artırmayın; referans fiyat = aralıktaki en düşük fiyat (aynı kanal)</t>
        </is>
      </c>
    </row>
    <row r="4">
      <c r="A4" t="inlineStr">
        <is>
          <t>Black Friday haftası (erken)</t>
        </is>
      </c>
      <c r="B4" s="2" t="n">
        <v>46346</v>
      </c>
      <c r="C4" s="2">
        <f>B4-10</f>
        <v/>
      </c>
      <c r="D4" s="2">
        <f>B4-1</f>
        <v/>
      </c>
      <c r="E4" t="inlineStr">
        <is>
          <t>Bu aralıkta fiyat artırmayın; referans fiyat = aralıktaki en düşük fiyat (aynı kanal)</t>
        </is>
      </c>
    </row>
    <row r="5">
      <c r="A5" t="inlineStr">
        <is>
          <t>Black Friday haftası</t>
        </is>
      </c>
      <c r="B5" s="2" t="n">
        <v>46349</v>
      </c>
      <c r="C5" s="2">
        <f>B5-10</f>
        <v/>
      </c>
      <c r="D5" s="2">
        <f>B5-1</f>
        <v/>
      </c>
      <c r="E5" t="inlineStr">
        <is>
          <t>Bu aralıkta fiyat artırmayın; referans fiyat = aralıktaki en düşük fiyat (aynı kanal)</t>
        </is>
      </c>
    </row>
    <row r="6">
      <c r="A6" t="inlineStr">
        <is>
          <t>Black Friday günü</t>
        </is>
      </c>
      <c r="B6" s="2" t="n">
        <v>46353</v>
      </c>
      <c r="C6" s="2">
        <f>B6-10</f>
        <v/>
      </c>
      <c r="D6" s="2">
        <f>B6-1</f>
        <v/>
      </c>
      <c r="E6" t="inlineStr">
        <is>
          <t>Bu aralıkta fiyat artırmayın; referans fiyat = aralıktaki en düşük fiyat (aynı kanal)</t>
        </is>
      </c>
    </row>
    <row r="7">
      <c r="A7" t="inlineStr">
        <is>
          <t>Cyber Monday</t>
        </is>
      </c>
      <c r="B7" s="2" t="n">
        <v>46356</v>
      </c>
      <c r="C7" s="2">
        <f>B7-10</f>
        <v/>
      </c>
      <c r="D7" s="2">
        <f>B7-1</f>
        <v/>
      </c>
      <c r="E7" t="inlineStr">
        <is>
          <t>Bu aralıkta fiyat artırmayın; referans fiyat = aralıktaki en düşük fiyat (aynı kanal)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4" customWidth="1" min="3" max="3"/>
    <col width="12" customWidth="1" min="4" max="4"/>
    <col width="40" customWidth="1" min="5" max="5"/>
  </cols>
  <sheetData>
    <row r="1">
      <c r="A1" s="1" t="inlineStr">
        <is>
          <t>Faz</t>
        </is>
      </c>
      <c r="B1" s="1" t="inlineStr">
        <is>
          <t>Adım</t>
        </is>
      </c>
      <c r="C1" s="1" t="inlineStr">
        <is>
          <t>Durum</t>
        </is>
      </c>
      <c r="D1" s="1" t="inlineStr">
        <is>
          <t>Tarih</t>
        </is>
      </c>
      <c r="E1" s="1" t="inlineStr">
        <is>
          <t>Not</t>
        </is>
      </c>
    </row>
    <row r="2">
      <c r="A2" t="inlineStr">
        <is>
          <t>0</t>
        </is>
      </c>
      <c r="B2" t="inlineStr">
        <is>
          <t>MCC + marka hesabı, yetkiler, 2FA</t>
        </is>
      </c>
      <c r="C2" t="inlineStr">
        <is>
          <t>Yapılacak</t>
        </is>
      </c>
      <c r="E2" t="inlineStr"/>
    </row>
    <row r="3">
      <c r="A3" t="inlineStr">
        <is>
          <t>0</t>
        </is>
      </c>
      <c r="B3" t="inlineStr">
        <is>
          <t>Çerez yönetimi + açık rıza + aydınlatma metni (KVKK)</t>
        </is>
      </c>
      <c r="C3" t="inlineStr">
        <is>
          <t>Yapılacak</t>
        </is>
      </c>
      <c r="E3" t="inlineStr"/>
    </row>
    <row r="4">
      <c r="A4" t="inlineStr">
        <is>
          <t>0</t>
        </is>
      </c>
      <c r="B4" t="inlineStr">
        <is>
          <t>Consent Mode v2 (4 sinyal) GTM ile</t>
        </is>
      </c>
      <c r="C4" t="inlineStr">
        <is>
          <t>Yapılacak</t>
        </is>
      </c>
      <c r="E4" t="inlineStr"/>
    </row>
    <row r="5">
      <c r="A5" t="inlineStr">
        <is>
          <t>0</t>
        </is>
      </c>
      <c r="B5" t="inlineStr">
        <is>
          <t>GA4 + dönüşüm aksiyonları (satın alma birincil, değerli)</t>
        </is>
      </c>
      <c r="C5" t="inlineStr">
        <is>
          <t>Yapılacak</t>
        </is>
      </c>
      <c r="E5" t="inlineStr"/>
    </row>
    <row r="6">
      <c r="A6" t="inlineStr">
        <is>
          <t>0</t>
        </is>
      </c>
      <c r="B6" t="inlineStr">
        <is>
          <t>Gelişmiş dönüşümler (enhanced conversions)</t>
        </is>
      </c>
      <c r="C6" t="inlineStr">
        <is>
          <t>Yapılacak</t>
        </is>
      </c>
      <c r="E6" t="inlineStr"/>
    </row>
    <row r="7">
      <c r="A7" t="inlineStr">
        <is>
          <t>0</t>
        </is>
      </c>
      <c r="B7" t="inlineStr">
        <is>
          <t>Lead markası: CRM çevrimdışı dönüşüm içe aktarma</t>
        </is>
      </c>
      <c r="C7" t="inlineStr">
        <is>
          <t>Yapılacak</t>
        </is>
      </c>
      <c r="E7" t="inlineStr"/>
    </row>
    <row r="8">
      <c r="A8" t="inlineStr">
        <is>
          <t>0</t>
        </is>
      </c>
      <c r="B8" t="inlineStr">
        <is>
          <t>Merchant Center feed: başlık, GTIN, fiyat, stok, kargo, iade</t>
        </is>
      </c>
      <c r="C8" t="inlineStr">
        <is>
          <t>Yapılacak</t>
        </is>
      </c>
      <c r="E8" t="inlineStr"/>
    </row>
    <row r="9">
      <c r="A9" t="inlineStr">
        <is>
          <t>1</t>
        </is>
      </c>
      <c r="B9" t="inlineStr">
        <is>
          <t>Brand Search kampanyası</t>
        </is>
      </c>
      <c r="C9" t="inlineStr">
        <is>
          <t>Yapılacak</t>
        </is>
      </c>
      <c r="E9" t="inlineStr"/>
    </row>
    <row r="10">
      <c r="A10" t="inlineStr">
        <is>
          <t>1</t>
        </is>
      </c>
      <c r="B10" t="inlineStr">
        <is>
          <t>Non-brand Search (tema bazlı reklam grupları)</t>
        </is>
      </c>
      <c r="C10" t="inlineStr">
        <is>
          <t>Yapılacak</t>
        </is>
      </c>
      <c r="E10" t="inlineStr"/>
    </row>
    <row r="11">
      <c r="A11" t="inlineStr">
        <is>
          <t>1</t>
        </is>
      </c>
      <c r="B11" t="inlineStr">
        <is>
          <t>Performance Max (feed + varlık), marka hariç tutma</t>
        </is>
      </c>
      <c r="C11" t="inlineStr">
        <is>
          <t>Yapılacak</t>
        </is>
      </c>
      <c r="E11" t="inlineStr"/>
    </row>
    <row r="12">
      <c r="A12" t="inlineStr">
        <is>
          <t>1</t>
        </is>
      </c>
      <c r="B12" t="inlineStr">
        <is>
          <t>Demand Gen (yeni kitle)</t>
        </is>
      </c>
      <c r="C12" t="inlineStr">
        <is>
          <t>Yapılacak</t>
        </is>
      </c>
      <c r="E12" t="inlineStr"/>
    </row>
    <row r="13">
      <c r="A13" t="inlineStr">
        <is>
          <t>1</t>
        </is>
      </c>
      <c r="B13" t="inlineStr">
        <is>
          <t>Kanal önceliği: Display + iş ortakları Düşük, tavan</t>
        </is>
      </c>
      <c r="C13" t="inlineStr">
        <is>
          <t>Yapılacak</t>
        </is>
      </c>
      <c r="E13" t="inlineStr"/>
    </row>
    <row r="14">
      <c r="A14" t="inlineStr">
        <is>
          <t>1</t>
        </is>
      </c>
      <c r="B14" t="inlineStr">
        <is>
          <t>Hesap düzeyi negatif anahtar kelime listesi</t>
        </is>
      </c>
      <c r="C14" t="inlineStr">
        <is>
          <t>Yapılacak</t>
        </is>
      </c>
      <c r="E14" t="inlineStr"/>
    </row>
    <row r="15">
      <c r="A15" t="inlineStr">
        <is>
          <t>2</t>
        </is>
      </c>
      <c r="B15" t="inlineStr">
        <is>
          <t>2 hafta öğrenme; bütçe değişimi ≤ %20</t>
        </is>
      </c>
      <c r="C15" t="inlineStr">
        <is>
          <t>Yapılacak</t>
        </is>
      </c>
      <c r="E15" t="inlineStr"/>
    </row>
    <row r="16">
      <c r="A16" t="inlineStr">
        <is>
          <t>2</t>
        </is>
      </c>
      <c r="B16" t="inlineStr">
        <is>
          <t>30+ dönüşüm/30 gün sonrası tCPA / tROAS geçişi</t>
        </is>
      </c>
      <c r="C16" t="inlineStr">
        <is>
          <t>Yapılacak</t>
        </is>
      </c>
      <c r="E16" t="inlineStr"/>
    </row>
    <row r="17">
      <c r="A17" t="inlineStr">
        <is>
          <t>2</t>
        </is>
      </c>
      <c r="B17" t="inlineStr">
        <is>
          <t>Haftalık: arama terimleri, kanal raporu, varlık raporu, feed</t>
        </is>
      </c>
      <c r="C17" t="inlineStr">
        <is>
          <t>Yapılacak</t>
        </is>
      </c>
      <c r="E17" t="inlineStr"/>
    </row>
    <row r="18">
      <c r="A18" t="inlineStr">
        <is>
          <t>3</t>
        </is>
      </c>
      <c r="B18" t="inlineStr">
        <is>
          <t>Aylık kanal önceliği gözden geçirme</t>
        </is>
      </c>
      <c r="C18" t="inlineStr">
        <is>
          <t>Yapılacak</t>
        </is>
      </c>
      <c r="E18" t="inlineStr"/>
    </row>
    <row r="19">
      <c r="A19" t="inlineStr">
        <is>
          <t>3</t>
        </is>
      </c>
      <c r="B19" t="inlineStr">
        <is>
          <t>Büyük dönemlerde mevsimsellik ayarı aç / kapat</t>
        </is>
      </c>
      <c r="C19" t="inlineStr">
        <is>
          <t>Yapılacak</t>
        </is>
      </c>
      <c r="E19" t="inlineStr"/>
    </row>
  </sheetData>
  <dataValidations count="1">
    <dataValidation sqref="C2:C69" showDropDown="0" showInputMessage="0" showErrorMessage="0" allowBlank="0" type="list">
      <formula1>"Yapılacak,Devam Eden,Beklemede,Biten"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Metrik</t>
        </is>
      </c>
      <c r="B1" s="1" t="inlineStr">
        <is>
          <t>Önceki dönem</t>
        </is>
      </c>
      <c r="C1" s="1" t="inlineStr">
        <is>
          <t>Bu dönem</t>
        </is>
      </c>
      <c r="D1" s="1" t="inlineStr">
        <is>
          <t>Değişim %</t>
        </is>
      </c>
    </row>
    <row r="2">
      <c r="A2" t="inlineStr">
        <is>
          <t>Dönem adı</t>
        </is>
      </c>
      <c r="B2" t="inlineStr">
        <is>
          <t>BF 2025 haftası</t>
        </is>
      </c>
      <c r="C2" t="inlineStr">
        <is>
          <t>BF 2026 haftası</t>
        </is>
      </c>
      <c r="D2" t="inlineStr"/>
    </row>
    <row r="3">
      <c r="A3" t="inlineStr">
        <is>
          <t>Harcama (TL)</t>
        </is>
      </c>
      <c r="B3" s="3" t="n"/>
      <c r="C3" s="3" t="n"/>
      <c r="D3" s="4">
        <f>IFERROR((C3-B3)/B3,"")</f>
        <v/>
      </c>
    </row>
    <row r="4">
      <c r="A4" t="inlineStr">
        <is>
          <t>Gösterim</t>
        </is>
      </c>
      <c r="D4" s="4">
        <f>IFERROR((C4-B4)/B4,"")</f>
        <v/>
      </c>
    </row>
    <row r="5">
      <c r="A5" t="inlineStr">
        <is>
          <t>Tıklama</t>
        </is>
      </c>
      <c r="D5" s="4">
        <f>IFERROR((C5-B5)/B5,"")</f>
        <v/>
      </c>
    </row>
    <row r="6">
      <c r="A6" t="inlineStr">
        <is>
          <t>Dönüşüm</t>
        </is>
      </c>
      <c r="D6" s="4">
        <f>IFERROR((C6-B6)/B6,"")</f>
        <v/>
      </c>
    </row>
    <row r="7">
      <c r="A7" t="inlineStr">
        <is>
          <t>Gelir (TL)</t>
        </is>
      </c>
      <c r="B7" s="3" t="n"/>
      <c r="C7" s="3" t="n"/>
      <c r="D7" s="4">
        <f>IFERROR((C7-B7)/B7,"")</f>
        <v/>
      </c>
    </row>
    <row r="8">
      <c r="A8" t="inlineStr">
        <is>
          <t>Lead</t>
        </is>
      </c>
      <c r="D8" s="4">
        <f>IFERROR((C8-B8)/B8,"")</f>
        <v/>
      </c>
    </row>
    <row r="9">
      <c r="A9" t="inlineStr">
        <is>
          <t>Nitelikli lead (CRM)</t>
        </is>
      </c>
      <c r="D9" s="4">
        <f>IFERROR((C9-B9)/B9,"")</f>
        <v/>
      </c>
    </row>
    <row r="10">
      <c r="A10" t="inlineStr">
        <is>
          <t>CPA (TL)</t>
        </is>
      </c>
      <c r="B10" s="3">
        <f>IFERROR(B3/B6,"")</f>
        <v/>
      </c>
      <c r="C10" s="3">
        <f>IFERROR(C3/C6,"")</f>
        <v/>
      </c>
      <c r="D10" s="4">
        <f>IFERROR((C10-B10)/B10,"")</f>
        <v/>
      </c>
    </row>
    <row r="11">
      <c r="A11" t="inlineStr">
        <is>
          <t>ROAS</t>
        </is>
      </c>
      <c r="B11" s="5">
        <f>IFERROR(B7/B3,"")</f>
        <v/>
      </c>
      <c r="C11" s="5">
        <f>IFERROR(C7/C3,"")</f>
        <v/>
      </c>
      <c r="D11" s="4">
        <f>IFERROR((C11-B11)/B11,"")</f>
        <v/>
      </c>
    </row>
    <row r="12">
      <c r="A12" t="inlineStr">
        <is>
          <t>CVR</t>
        </is>
      </c>
      <c r="B12" s="6">
        <f>IFERROR(B6/B5,"")</f>
        <v/>
      </c>
      <c r="C12" s="6">
        <f>IFERROR(C6/C5,"")</f>
        <v/>
      </c>
      <c r="D12" s="4">
        <f>IFERROR((C12-B12)/B12,"")</f>
        <v/>
      </c>
    </row>
    <row r="13">
      <c r="A13" t="inlineStr">
        <is>
          <t>CTR</t>
        </is>
      </c>
      <c r="B13" s="6">
        <f>IFERROR(B5/B4,"")</f>
        <v/>
      </c>
      <c r="C13" s="6">
        <f>IFERROR(C5/C4,"")</f>
        <v/>
      </c>
      <c r="D13" s="4">
        <f>IFERROR((C13-B13)/B13,"")</f>
        <v/>
      </c>
    </row>
    <row r="14">
      <c r="A14" t="inlineStr">
        <is>
          <t>Lead kalitesi (nitelikli / toplam)</t>
        </is>
      </c>
      <c r="B14" s="6">
        <f>IFERROR(B9/B8,"")</f>
        <v/>
      </c>
      <c r="C14" s="6">
        <f>IFERROR(C9/C8,"")</f>
        <v/>
      </c>
      <c r="D14" s="4">
        <f>IFERROR((C14-B14)/B14,"")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2026-10-24T10:45:00Z</dcterms:created>
  <dcterms:modified xmlns:dcterms="http://purl.org/dc/terms/" xmlns:xsi="http://www.w3.org/2001/XMLSchema-instance" xsi:type="dcterms:W3CDTF">2026-10-24T10:45:00Z</dcterms:modified>
</cp:coreProperties>
</file>